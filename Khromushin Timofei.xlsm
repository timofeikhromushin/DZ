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16" codeName="{00000000-0000-0000-0000-0000000000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Старые работы\"/>
    </mc:Choice>
  </mc:AlternateContent>
  <xr:revisionPtr revIDLastSave="0" documentId="8_{405C8B40-2A0A-4BA5-B5C9-9481C000ABF2}" xr6:coauthVersionLast="47" xr6:coauthVersionMax="47" xr10:uidLastSave="{00000000-0000-0000-0000-000000000000}"/>
  <bookViews>
    <workbookView xWindow="-108" yWindow="-108" windowWidth="23256" windowHeight="12576" firstSheet="1" activeTab="1" xr2:uid="{F035538E-8BAC-4659-9CD9-D646A722B00E}"/>
  </bookViews>
  <sheets>
    <sheet name="Лист1" sheetId="1" r:id="rId1"/>
    <sheet name="Лист2" sheetId="3" r:id="rId2"/>
    <sheet name="Таблица1" sheetId="2" r:id="rId3"/>
  </sheets>
  <definedNames>
    <definedName name="Таблица1">Таблица1!$A$1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3" l="1"/>
  <c r="K3" i="3"/>
  <c r="K4" i="3"/>
  <c r="K5" i="3"/>
  <c r="K6" i="3"/>
  <c r="K7" i="3"/>
  <c r="K8" i="3"/>
  <c r="K9" i="3"/>
  <c r="K10" i="3"/>
  <c r="K11" i="3"/>
  <c r="I2" i="3" l="1"/>
  <c r="L9" i="3"/>
  <c r="M9" i="3" s="1"/>
  <c r="L6" i="3"/>
  <c r="M6" i="3" s="1"/>
  <c r="L4" i="3"/>
  <c r="M4" i="3" s="1"/>
  <c r="L3" i="3"/>
  <c r="M3" i="3" s="1"/>
  <c r="L2" i="3"/>
  <c r="M2" i="3" s="1"/>
  <c r="J3" i="3" l="1"/>
  <c r="J4" i="3"/>
  <c r="J5" i="3"/>
  <c r="J6" i="3"/>
  <c r="J7" i="3"/>
  <c r="J8" i="3"/>
  <c r="J9" i="3"/>
  <c r="J10" i="3"/>
  <c r="J11" i="3"/>
  <c r="J2" i="3"/>
  <c r="N3" i="3"/>
  <c r="N4" i="3"/>
  <c r="L7" i="3"/>
  <c r="M7" i="3" s="1"/>
  <c r="L5" i="3"/>
  <c r="M5" i="3" s="1"/>
  <c r="N5" i="3" s="1"/>
  <c r="L10" i="3"/>
  <c r="M10" i="3" s="1"/>
  <c r="N10" i="3" s="1"/>
  <c r="N6" i="3"/>
  <c r="L8" i="3"/>
  <c r="M8" i="3" s="1"/>
  <c r="N8" i="3" s="1"/>
  <c r="N9" i="3"/>
  <c r="L11" i="3"/>
  <c r="M11" i="3" s="1"/>
  <c r="N11" i="3" s="1"/>
  <c r="N2" i="3"/>
  <c r="K3" i="1"/>
  <c r="K4" i="1"/>
  <c r="K5" i="1"/>
  <c r="K6" i="1"/>
  <c r="K7" i="1"/>
  <c r="K8" i="1"/>
  <c r="K9" i="1"/>
  <c r="K10" i="1"/>
  <c r="K11" i="1"/>
  <c r="K2" i="1"/>
  <c r="I2" i="1"/>
  <c r="J2" i="1" s="1"/>
  <c r="L11" i="1" l="1"/>
  <c r="M11" i="1" s="1"/>
  <c r="L10" i="1"/>
  <c r="M10" i="1" s="1"/>
  <c r="L9" i="1"/>
  <c r="M9" i="1" s="1"/>
  <c r="L4" i="1"/>
  <c r="M4" i="1" s="1"/>
  <c r="N7" i="3"/>
  <c r="L2" i="1"/>
  <c r="M2" i="1" s="1"/>
  <c r="N2" i="1" s="1"/>
  <c r="L8" i="1"/>
  <c r="M8" i="1" s="1"/>
  <c r="L7" i="1"/>
  <c r="M7" i="1" s="1"/>
  <c r="L3" i="1"/>
  <c r="M3" i="1" s="1"/>
  <c r="L6" i="1"/>
  <c r="M6" i="1" s="1"/>
  <c r="J3" i="1"/>
  <c r="N3" i="1" s="1"/>
  <c r="L5" i="1"/>
  <c r="M5" i="1" s="1"/>
  <c r="J11" i="1"/>
  <c r="N11" i="1" s="1"/>
  <c r="J10" i="1"/>
  <c r="N10" i="1" s="1"/>
  <c r="J9" i="1"/>
  <c r="N9" i="1" s="1"/>
  <c r="J8" i="1"/>
  <c r="J7" i="1"/>
  <c r="J6" i="1"/>
  <c r="N6" i="1" s="1"/>
  <c r="J5" i="1"/>
  <c r="J4" i="1"/>
  <c r="N4" i="1" s="1"/>
  <c r="N7" i="1" l="1"/>
  <c r="N8" i="1"/>
  <c r="N5" i="1"/>
</calcChain>
</file>

<file path=xl/sharedStrings.xml><?xml version="1.0" encoding="utf-8"?>
<sst xmlns="http://schemas.openxmlformats.org/spreadsheetml/2006/main" count="39" uniqueCount="20">
  <si>
    <t>Ноябрь</t>
  </si>
  <si>
    <t>Декабрь</t>
  </si>
  <si>
    <t>Январь</t>
  </si>
  <si>
    <t>Февраль</t>
  </si>
  <si>
    <t>Март</t>
  </si>
  <si>
    <t>Апрель</t>
  </si>
  <si>
    <t>Май</t>
  </si>
  <si>
    <t>Сумма</t>
  </si>
  <si>
    <t>Коммисионные</t>
  </si>
  <si>
    <t>Сумма магазина</t>
  </si>
  <si>
    <t>Место</t>
  </si>
  <si>
    <t>Премия</t>
  </si>
  <si>
    <t>Итог</t>
  </si>
  <si>
    <t>C=</t>
  </si>
  <si>
    <t>i=</t>
  </si>
  <si>
    <t>J1=</t>
  </si>
  <si>
    <t>J2=</t>
  </si>
  <si>
    <t>J3=</t>
  </si>
  <si>
    <t>J4=</t>
  </si>
  <si>
    <t>Код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</si>
</sst>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left"/>
    </xf>
    <xf numFmtId="9" fontId="0" fillId="0" borderId="1" xfId="0" applyNumberFormat="1" applyBorder="1" applyAlignment="1">
      <alignment horizontal="left"/>
    </xf>
    <xf numFmtId="10" fontId="0" fillId="0" borderId="1" xfId="0" applyNumberFormat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175260</xdr:rowOff>
    </xdr:from>
    <xdr:to>
      <xdr:col>6</xdr:col>
      <xdr:colOff>594360</xdr:colOff>
      <xdr:row>18</xdr:row>
      <xdr:rowOff>7620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ADFFFF19-57D5-4700-BA9A-9AB376DBE39C}"/>
            </a:ext>
          </a:extLst>
        </xdr:cNvPr>
        <xdr:cNvSpPr/>
      </xdr:nvSpPr>
      <xdr:spPr>
        <a:xfrm>
          <a:off x="1828800" y="2735580"/>
          <a:ext cx="2423160" cy="929640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800"/>
            <a:t>Вариант 7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13</xdr:row>
      <xdr:rowOff>3810</xdr:rowOff>
    </xdr:from>
    <xdr:to>
      <xdr:col>5</xdr:col>
      <xdr:colOff>594360</xdr:colOff>
      <xdr:row>18</xdr:row>
      <xdr:rowOff>17145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58B60D63-4CFF-46F8-820C-06BBC92E0BB5}"/>
            </a:ext>
          </a:extLst>
        </xdr:cNvPr>
        <xdr:cNvSpPr/>
      </xdr:nvSpPr>
      <xdr:spPr>
        <a:xfrm>
          <a:off x="1219200" y="2718435"/>
          <a:ext cx="2423160" cy="918210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az-Cyrl-AZ" sz="2800" b="1">
              <a:solidFill>
                <a:schemeClr val="lt1"/>
              </a:solidFill>
              <a:latin typeface="+mn-lt"/>
              <a:ea typeface="+mn-lt"/>
              <a:cs typeface="+mn-lt"/>
            </a:rPr>
            <a:t>Вариант </a:t>
          </a:r>
          <a:r>
            <a:rPr lang="az-Cyrl-AZ" sz="28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4</a:t>
          </a:r>
        </a:p>
      </xdr:txBody>
    </xdr:sp>
    <xdr:clientData/>
  </xdr:twoCellAnchor>
  <xdr:twoCellAnchor>
    <xdr:from>
      <xdr:col>15</xdr:col>
      <xdr:colOff>116205</xdr:colOff>
      <xdr:row>0</xdr:row>
      <xdr:rowOff>518160</xdr:rowOff>
    </xdr:from>
    <xdr:to>
      <xdr:col>19</xdr:col>
      <xdr:colOff>390525</xdr:colOff>
      <xdr:row>9</xdr:row>
      <xdr:rowOff>5715</xdr:rowOff>
    </xdr:to>
    <xdr:sp macro="[0]!кастом2" textlink="">
      <xdr:nvSpPr>
        <xdr:cNvPr id="3" name="Овал 2">
          <a:extLst>
            <a:ext uri="{FF2B5EF4-FFF2-40B4-BE49-F238E27FC236}">
              <a16:creationId xmlns:a16="http://schemas.microsoft.com/office/drawing/2014/main" id="{0BE04505-A57D-41DF-B8C9-A3B5116C2AC4}"/>
            </a:ext>
            <a:ext uri="{147F2762-F138-4A5C-976F-8EAC2B608ADB}">
              <a16:predDERef xmlns:a16="http://schemas.microsoft.com/office/drawing/2014/main" pred="{58B60D63-4CFF-46F8-820C-06BBC92E0BB5}"/>
            </a:ext>
          </a:extLst>
        </xdr:cNvPr>
        <xdr:cNvSpPr/>
      </xdr:nvSpPr>
      <xdr:spPr>
        <a:xfrm>
          <a:off x="9260205" y="518160"/>
          <a:ext cx="2712720" cy="147828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az-Cyrl-AZ" sz="18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ФОРМУЛА</a:t>
          </a:r>
        </a:p>
      </xdr:txBody>
    </xdr:sp>
    <xdr:clientData/>
  </xdr:twoCellAnchor>
  <xdr:twoCellAnchor>
    <xdr:from>
      <xdr:col>20</xdr:col>
      <xdr:colOff>91440</xdr:colOff>
      <xdr:row>1</xdr:row>
      <xdr:rowOff>85725</xdr:rowOff>
    </xdr:from>
    <xdr:to>
      <xdr:col>23</xdr:col>
      <xdr:colOff>335280</xdr:colOff>
      <xdr:row>8</xdr:row>
      <xdr:rowOff>139065</xdr:rowOff>
    </xdr:to>
    <xdr:sp macro="[0]!Elfktybt2" textlink="">
      <xdr:nvSpPr>
        <xdr:cNvPr id="5" name="Пятиугольник 4">
          <a:extLst>
            <a:ext uri="{FF2B5EF4-FFF2-40B4-BE49-F238E27FC236}">
              <a16:creationId xmlns:a16="http://schemas.microsoft.com/office/drawing/2014/main" id="{C2EF9BE2-D703-44FB-8B0D-14777413DC98}"/>
            </a:ext>
            <a:ext uri="{147F2762-F138-4A5C-976F-8EAC2B608ADB}">
              <a16:predDERef xmlns:a16="http://schemas.microsoft.com/office/drawing/2014/main" pred="{0BE04505-A57D-41DF-B8C9-A3B5116C2AC4}"/>
            </a:ext>
          </a:extLst>
        </xdr:cNvPr>
        <xdr:cNvSpPr/>
      </xdr:nvSpPr>
      <xdr:spPr>
        <a:xfrm>
          <a:off x="12283440" y="628650"/>
          <a:ext cx="2072640" cy="1320165"/>
        </a:xfrm>
        <a:prstGeom prst="pent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az-Cyrl-AZ" sz="18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УДАЛИТЬ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2E6BE-FFD5-4F0E-B2FF-007AFE08972C}">
  <sheetPr codeName="Лист1"/>
  <dimension ref="A1:N19"/>
  <sheetViews>
    <sheetView workbookViewId="0">
      <selection activeCell="J3" sqref="J3"/>
    </sheetView>
  </sheetViews>
  <sheetFormatPr defaultRowHeight="14.45"/>
  <cols>
    <col min="10" max="10" width="9" customWidth="1"/>
  </cols>
  <sheetData>
    <row r="1" spans="1:14" ht="43.15">
      <c r="A1" s="1"/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2" t="s">
        <v>8</v>
      </c>
      <c r="K1" s="2" t="s">
        <v>9</v>
      </c>
      <c r="L1" s="1" t="s">
        <v>10</v>
      </c>
      <c r="M1" s="1" t="s">
        <v>11</v>
      </c>
      <c r="N1" s="1" t="s">
        <v>12</v>
      </c>
    </row>
    <row r="2" spans="1:14">
      <c r="A2" s="1">
        <v>1</v>
      </c>
      <c r="B2" s="1">
        <v>1000</v>
      </c>
      <c r="C2" s="1">
        <v>1000</v>
      </c>
      <c r="D2" s="1">
        <v>10000</v>
      </c>
      <c r="E2" s="1">
        <v>1000</v>
      </c>
      <c r="F2" s="1">
        <v>1000</v>
      </c>
      <c r="G2" s="1">
        <v>1000</v>
      </c>
      <c r="H2" s="1">
        <v>1000</v>
      </c>
      <c r="I2" s="1">
        <f>SUM(B2:H11)</f>
        <v>157397</v>
      </c>
      <c r="J2" s="1">
        <f>IF($I$2&gt;$B$14,$I$2*$B$15,0)</f>
        <v>3147.94</v>
      </c>
      <c r="K2" s="1">
        <f>SUM(B2:H2)</f>
        <v>16000</v>
      </c>
      <c r="L2" s="1">
        <f>RANK(K2,$K$2:$K$11)</f>
        <v>5</v>
      </c>
      <c r="M2" s="2">
        <f>IF($L$2:$L$11=1,K2*$B$16,IF($L$2:$L$11=2,K2*$B$17,IF($L$2:$L$11=3,K2*$B$18,IF($L$2:$L$11=4,K2*$B$19,0))))</f>
        <v>0</v>
      </c>
      <c r="N2" s="1">
        <f>SUM(K2,J2,M2)</f>
        <v>19147.939999999999</v>
      </c>
    </row>
    <row r="3" spans="1:14">
      <c r="A3" s="1">
        <v>2</v>
      </c>
      <c r="B3" s="1">
        <v>500</v>
      </c>
      <c r="C3" s="1">
        <v>500</v>
      </c>
      <c r="D3" s="1">
        <v>500</v>
      </c>
      <c r="E3" s="1">
        <v>500</v>
      </c>
      <c r="F3" s="1">
        <v>500</v>
      </c>
      <c r="G3" s="1">
        <v>500</v>
      </c>
      <c r="H3" s="1">
        <v>5000</v>
      </c>
      <c r="I3" s="1"/>
      <c r="J3" s="1">
        <f>IF($I$2&gt;$B$14,$I$2*$B$15,0)</f>
        <v>3147.94</v>
      </c>
      <c r="K3" s="1">
        <f t="shared" ref="K3:K11" si="0">SUM(B3:H3)</f>
        <v>8000</v>
      </c>
      <c r="L3" s="1">
        <f t="shared" ref="L3:L11" si="1">RANK(K3,$K$2:$K$11)</f>
        <v>8</v>
      </c>
      <c r="M3" s="2">
        <f t="shared" ref="M3:M11" si="2">IF($L$2:$L$11=1,K3*$B$16,IF($L$2:$L$11=2,K3*$B$17,IF($L$2:$L$11=3,K3*$B$18,IF($L$2:$L$11=4,K3*$B$19,0))))</f>
        <v>0</v>
      </c>
      <c r="N3" s="1">
        <f t="shared" ref="N3:N11" si="3">SUM(K3,J3,M3)</f>
        <v>11147.94</v>
      </c>
    </row>
    <row r="4" spans="1:14">
      <c r="A4" s="1">
        <v>3</v>
      </c>
      <c r="B4" s="1">
        <v>31405</v>
      </c>
      <c r="C4" s="1">
        <v>345</v>
      </c>
      <c r="D4" s="1">
        <v>3405</v>
      </c>
      <c r="E4" s="1">
        <v>3405</v>
      </c>
      <c r="F4" s="1">
        <v>345</v>
      </c>
      <c r="G4" s="1">
        <v>345</v>
      </c>
      <c r="H4" s="1">
        <v>345</v>
      </c>
      <c r="I4" s="1"/>
      <c r="J4" s="1">
        <f t="shared" ref="J4:J11" si="4">IF($I$2&gt;$B$14,$I$2*$B$15,0)</f>
        <v>3147.94</v>
      </c>
      <c r="K4" s="1">
        <f t="shared" si="0"/>
        <v>39595</v>
      </c>
      <c r="L4" s="1">
        <f t="shared" si="1"/>
        <v>1</v>
      </c>
      <c r="M4" s="2">
        <f t="shared" si="2"/>
        <v>1583.8</v>
      </c>
      <c r="N4" s="1">
        <f t="shared" si="3"/>
        <v>44326.740000000005</v>
      </c>
    </row>
    <row r="5" spans="1:14">
      <c r="A5" s="1">
        <v>4</v>
      </c>
      <c r="B5" s="1">
        <v>176</v>
      </c>
      <c r="C5" s="1">
        <v>176</v>
      </c>
      <c r="D5" s="1">
        <v>176</v>
      </c>
      <c r="E5" s="1">
        <v>176</v>
      </c>
      <c r="F5" s="1">
        <v>1706</v>
      </c>
      <c r="G5" s="1">
        <v>1076</v>
      </c>
      <c r="H5" s="1">
        <v>1706</v>
      </c>
      <c r="I5" s="1"/>
      <c r="J5" s="1">
        <f t="shared" si="4"/>
        <v>3147.94</v>
      </c>
      <c r="K5" s="1">
        <f t="shared" si="0"/>
        <v>5192</v>
      </c>
      <c r="L5" s="1">
        <f t="shared" si="1"/>
        <v>9</v>
      </c>
      <c r="M5" s="2">
        <f t="shared" si="2"/>
        <v>0</v>
      </c>
      <c r="N5" s="1">
        <f t="shared" si="3"/>
        <v>8339.94</v>
      </c>
    </row>
    <row r="6" spans="1:14">
      <c r="A6" s="1">
        <v>5</v>
      </c>
      <c r="B6" s="1">
        <v>349</v>
      </c>
      <c r="C6" s="1">
        <v>3049</v>
      </c>
      <c r="D6" s="1">
        <v>349</v>
      </c>
      <c r="E6" s="1">
        <v>349</v>
      </c>
      <c r="F6" s="1">
        <v>349</v>
      </c>
      <c r="G6" s="1">
        <v>349</v>
      </c>
      <c r="H6" s="1">
        <v>349</v>
      </c>
      <c r="I6" s="1"/>
      <c r="J6" s="1">
        <f t="shared" si="4"/>
        <v>3147.94</v>
      </c>
      <c r="K6" s="1">
        <f t="shared" si="0"/>
        <v>5143</v>
      </c>
      <c r="L6" s="1">
        <f t="shared" si="1"/>
        <v>10</v>
      </c>
      <c r="M6" s="2">
        <f t="shared" si="2"/>
        <v>0</v>
      </c>
      <c r="N6" s="1">
        <f t="shared" si="3"/>
        <v>8290.94</v>
      </c>
    </row>
    <row r="7" spans="1:14">
      <c r="A7" s="1">
        <v>6</v>
      </c>
      <c r="B7" s="1">
        <v>6166</v>
      </c>
      <c r="C7" s="1">
        <v>666</v>
      </c>
      <c r="D7" s="1">
        <v>666</v>
      </c>
      <c r="E7" s="1">
        <v>666</v>
      </c>
      <c r="F7" s="1">
        <v>666</v>
      </c>
      <c r="G7" s="1">
        <v>666</v>
      </c>
      <c r="H7" s="1">
        <v>6606</v>
      </c>
      <c r="I7" s="1"/>
      <c r="J7" s="1">
        <f t="shared" si="4"/>
        <v>3147.94</v>
      </c>
      <c r="K7" s="1">
        <f t="shared" si="0"/>
        <v>16102</v>
      </c>
      <c r="L7" s="1">
        <f t="shared" si="1"/>
        <v>4</v>
      </c>
      <c r="M7" s="2">
        <f t="shared" si="2"/>
        <v>80.510000000000005</v>
      </c>
      <c r="N7" s="1">
        <f t="shared" si="3"/>
        <v>19330.449999999997</v>
      </c>
    </row>
    <row r="8" spans="1:14">
      <c r="A8" s="1">
        <v>7</v>
      </c>
      <c r="B8" s="1">
        <v>777</v>
      </c>
      <c r="C8" s="1">
        <v>777</v>
      </c>
      <c r="D8" s="1">
        <v>777</v>
      </c>
      <c r="E8" s="1">
        <v>7777</v>
      </c>
      <c r="F8" s="1">
        <v>777</v>
      </c>
      <c r="G8" s="1">
        <v>777</v>
      </c>
      <c r="H8" s="1">
        <v>777</v>
      </c>
      <c r="I8" s="1"/>
      <c r="J8" s="1">
        <f t="shared" si="4"/>
        <v>3147.94</v>
      </c>
      <c r="K8" s="1">
        <f t="shared" si="0"/>
        <v>12439</v>
      </c>
      <c r="L8" s="1">
        <f t="shared" si="1"/>
        <v>7</v>
      </c>
      <c r="M8" s="2">
        <f t="shared" si="2"/>
        <v>0</v>
      </c>
      <c r="N8" s="1">
        <f t="shared" si="3"/>
        <v>15586.94</v>
      </c>
    </row>
    <row r="9" spans="1:14">
      <c r="A9" s="1">
        <v>8</v>
      </c>
      <c r="B9" s="1">
        <v>888</v>
      </c>
      <c r="C9" s="1">
        <v>8828</v>
      </c>
      <c r="D9" s="1">
        <v>888</v>
      </c>
      <c r="E9" s="1">
        <v>888</v>
      </c>
      <c r="F9" s="1">
        <v>888</v>
      </c>
      <c r="G9" s="1">
        <v>888</v>
      </c>
      <c r="H9">
        <v>888</v>
      </c>
      <c r="I9" s="1"/>
      <c r="J9" s="1">
        <f t="shared" si="4"/>
        <v>3147.94</v>
      </c>
      <c r="K9" s="1">
        <f t="shared" si="0"/>
        <v>14156</v>
      </c>
      <c r="L9" s="1">
        <f t="shared" si="1"/>
        <v>6</v>
      </c>
      <c r="M9" s="2">
        <f t="shared" si="2"/>
        <v>0</v>
      </c>
      <c r="N9" s="1">
        <f t="shared" si="3"/>
        <v>17303.939999999999</v>
      </c>
    </row>
    <row r="10" spans="1:14">
      <c r="A10" s="1">
        <v>9</v>
      </c>
      <c r="B10" s="1">
        <v>999</v>
      </c>
      <c r="C10" s="1">
        <v>999</v>
      </c>
      <c r="D10" s="1">
        <v>9900</v>
      </c>
      <c r="E10" s="1">
        <v>9199</v>
      </c>
      <c r="F10" s="1">
        <v>999</v>
      </c>
      <c r="G10" s="1">
        <v>999</v>
      </c>
      <c r="H10" s="1">
        <v>999</v>
      </c>
      <c r="I10" s="1"/>
      <c r="J10" s="1">
        <f t="shared" si="4"/>
        <v>3147.94</v>
      </c>
      <c r="K10" s="1">
        <f t="shared" si="0"/>
        <v>24094</v>
      </c>
      <c r="L10" s="1">
        <f t="shared" si="1"/>
        <v>2</v>
      </c>
      <c r="M10" s="2">
        <f t="shared" si="2"/>
        <v>481.88</v>
      </c>
      <c r="N10" s="1">
        <f t="shared" si="3"/>
        <v>27723.82</v>
      </c>
    </row>
    <row r="11" spans="1:14">
      <c r="A11" s="1">
        <v>10</v>
      </c>
      <c r="B11" s="1">
        <v>1111</v>
      </c>
      <c r="C11" s="1">
        <v>1111</v>
      </c>
      <c r="D11" s="1">
        <v>1110</v>
      </c>
      <c r="E11" s="1">
        <v>1111</v>
      </c>
      <c r="F11" s="1">
        <v>1111</v>
      </c>
      <c r="G11" s="1">
        <v>1111</v>
      </c>
      <c r="H11" s="1">
        <v>10011</v>
      </c>
      <c r="I11" s="1"/>
      <c r="J11" s="1">
        <f t="shared" si="4"/>
        <v>3147.94</v>
      </c>
      <c r="K11" s="1">
        <f t="shared" si="0"/>
        <v>16676</v>
      </c>
      <c r="L11" s="1">
        <f t="shared" si="1"/>
        <v>3</v>
      </c>
      <c r="M11" s="2">
        <f t="shared" si="2"/>
        <v>166.76</v>
      </c>
      <c r="N11" s="1">
        <f t="shared" si="3"/>
        <v>19990.699999999997</v>
      </c>
    </row>
    <row r="14" spans="1:14">
      <c r="A14" s="3" t="s">
        <v>13</v>
      </c>
      <c r="B14" s="4">
        <v>149000</v>
      </c>
    </row>
    <row r="15" spans="1:14">
      <c r="A15" s="3" t="s">
        <v>14</v>
      </c>
      <c r="B15" s="5">
        <v>0.02</v>
      </c>
    </row>
    <row r="16" spans="1:14">
      <c r="A16" s="3" t="s">
        <v>15</v>
      </c>
      <c r="B16" s="5">
        <v>0.04</v>
      </c>
    </row>
    <row r="17" spans="1:2">
      <c r="A17" s="3" t="s">
        <v>16</v>
      </c>
      <c r="B17" s="5">
        <v>0.02</v>
      </c>
    </row>
    <row r="18" spans="1:2">
      <c r="A18" s="3" t="s">
        <v>17</v>
      </c>
      <c r="B18" s="5">
        <v>0.01</v>
      </c>
    </row>
    <row r="19" spans="1:2">
      <c r="A19" s="3" t="s">
        <v>18</v>
      </c>
      <c r="B19" s="6">
        <v>5.0000000000000001E-3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ignoredErrors>
    <ignoredError sqref="K2 K3:K11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5F88C-4CBF-4428-8CA8-69A596EEE03D}">
  <sheetPr codeName="Лист2"/>
  <dimension ref="A1:N19"/>
  <sheetViews>
    <sheetView tabSelected="1" workbookViewId="0">
      <selection activeCell="I17" sqref="I17"/>
    </sheetView>
  </sheetViews>
  <sheetFormatPr defaultRowHeight="14.45"/>
  <sheetData>
    <row r="1" spans="1:14" ht="43.15">
      <c r="A1" s="1"/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2" t="s">
        <v>8</v>
      </c>
      <c r="K1" s="2" t="s">
        <v>9</v>
      </c>
      <c r="L1" s="1" t="s">
        <v>10</v>
      </c>
      <c r="M1" s="1" t="s">
        <v>11</v>
      </c>
      <c r="N1" s="1" t="s">
        <v>12</v>
      </c>
    </row>
    <row r="2" spans="1:14">
      <c r="A2" s="1">
        <v>1</v>
      </c>
      <c r="B2" s="1">
        <v>1000</v>
      </c>
      <c r="C2" s="1">
        <v>1000</v>
      </c>
      <c r="D2" s="1">
        <v>10000</v>
      </c>
      <c r="E2" s="1">
        <v>1000</v>
      </c>
      <c r="F2" s="1">
        <v>1000</v>
      </c>
      <c r="G2" s="1">
        <v>1000</v>
      </c>
      <c r="H2" s="1">
        <v>1000</v>
      </c>
      <c r="I2" s="1">
        <f>SUM(B2:H11)</f>
        <v>157397</v>
      </c>
      <c r="J2" s="1">
        <f>IF($I$2&gt;$B$14,$I$2*$B$15,0)</f>
        <v>3147.94</v>
      </c>
      <c r="K2" s="1">
        <f t="shared" ref="K2:K11" si="0">SUM(B2:H2)</f>
        <v>16000</v>
      </c>
      <c r="L2" s="1">
        <f>RANK(K2,$K$2:$K$11)</f>
        <v>5</v>
      </c>
      <c r="M2" s="2">
        <f>IF($L$2:$L$11=1,K2*$B$16,IF($L$2:$L$11=2,K2*$B$17,IF($L$2:$L$11=3,K2*$B$18,IF($L$2:$L$11=4,K2*$B$19,0))))</f>
        <v>0</v>
      </c>
      <c r="N2" s="1">
        <f>SUM(K2,J2,M2)</f>
        <v>19147.939999999999</v>
      </c>
    </row>
    <row r="3" spans="1:14">
      <c r="A3" s="1">
        <v>2</v>
      </c>
      <c r="B3" s="1">
        <v>500</v>
      </c>
      <c r="C3" s="1">
        <v>500</v>
      </c>
      <c r="D3" s="1">
        <v>500</v>
      </c>
      <c r="E3" s="1">
        <v>500</v>
      </c>
      <c r="F3" s="1">
        <v>500</v>
      </c>
      <c r="G3" s="1">
        <v>500</v>
      </c>
      <c r="H3" s="1">
        <v>5000</v>
      </c>
      <c r="I3" s="1"/>
      <c r="J3" s="1">
        <f t="shared" ref="J3:J11" si="1">IF($I$2&gt;$B$14,$I$2*$B$15,0)</f>
        <v>3147.94</v>
      </c>
      <c r="K3" s="1">
        <f t="shared" si="0"/>
        <v>8000</v>
      </c>
      <c r="L3" s="1">
        <f t="shared" ref="L3:L11" si="2">RANK(K3,$K$2:$K$11)</f>
        <v>8</v>
      </c>
      <c r="M3" s="2">
        <f t="shared" ref="M3:M11" si="3">IF($L$2:$L$11=1,K3*$B$16,IF($L$2:$L$11=2,K3*$B$17,IF($L$2:$L$11=3,K3*$B$18,IF($L$2:$L$11=4,K3*$B$19,0))))</f>
        <v>0</v>
      </c>
      <c r="N3" s="1">
        <f t="shared" ref="N3:N11" si="4">SUM(K3,J3,M3)</f>
        <v>11147.94</v>
      </c>
    </row>
    <row r="4" spans="1:14">
      <c r="A4" s="1">
        <v>3</v>
      </c>
      <c r="B4" s="1">
        <v>31405</v>
      </c>
      <c r="C4" s="1">
        <v>345</v>
      </c>
      <c r="D4" s="1">
        <v>3405</v>
      </c>
      <c r="E4" s="1">
        <v>3405</v>
      </c>
      <c r="F4" s="1">
        <v>345</v>
      </c>
      <c r="G4" s="1">
        <v>345</v>
      </c>
      <c r="H4" s="1">
        <v>345</v>
      </c>
      <c r="I4" s="1"/>
      <c r="J4" s="1">
        <f t="shared" si="1"/>
        <v>3147.94</v>
      </c>
      <c r="K4" s="1">
        <f t="shared" si="0"/>
        <v>39595</v>
      </c>
      <c r="L4" s="1">
        <f t="shared" si="2"/>
        <v>1</v>
      </c>
      <c r="M4" s="2">
        <f t="shared" si="3"/>
        <v>1583.8</v>
      </c>
      <c r="N4" s="1">
        <f t="shared" si="4"/>
        <v>44326.740000000005</v>
      </c>
    </row>
    <row r="5" spans="1:14">
      <c r="A5" s="1">
        <v>4</v>
      </c>
      <c r="B5" s="1">
        <v>176</v>
      </c>
      <c r="C5" s="1">
        <v>176</v>
      </c>
      <c r="D5" s="1">
        <v>176</v>
      </c>
      <c r="E5" s="1">
        <v>176</v>
      </c>
      <c r="F5" s="1">
        <v>1706</v>
      </c>
      <c r="G5" s="1">
        <v>1076</v>
      </c>
      <c r="H5" s="1">
        <v>1706</v>
      </c>
      <c r="I5" s="1"/>
      <c r="J5" s="1">
        <f t="shared" si="1"/>
        <v>3147.94</v>
      </c>
      <c r="K5" s="1">
        <f t="shared" si="0"/>
        <v>5192</v>
      </c>
      <c r="L5" s="1">
        <f t="shared" si="2"/>
        <v>9</v>
      </c>
      <c r="M5" s="2">
        <f t="shared" si="3"/>
        <v>0</v>
      </c>
      <c r="N5" s="1">
        <f t="shared" si="4"/>
        <v>8339.94</v>
      </c>
    </row>
    <row r="6" spans="1:14">
      <c r="A6" s="1">
        <v>5</v>
      </c>
      <c r="B6" s="1">
        <v>349</v>
      </c>
      <c r="C6" s="1">
        <v>3049</v>
      </c>
      <c r="D6" s="1">
        <v>349</v>
      </c>
      <c r="E6" s="1">
        <v>349</v>
      </c>
      <c r="F6" s="1">
        <v>349</v>
      </c>
      <c r="G6" s="1">
        <v>349</v>
      </c>
      <c r="H6" s="1">
        <v>349</v>
      </c>
      <c r="I6" s="1"/>
      <c r="J6" s="1">
        <f t="shared" si="1"/>
        <v>3147.94</v>
      </c>
      <c r="K6" s="1">
        <f t="shared" si="0"/>
        <v>5143</v>
      </c>
      <c r="L6" s="1">
        <f t="shared" si="2"/>
        <v>10</v>
      </c>
      <c r="M6" s="2">
        <f t="shared" si="3"/>
        <v>0</v>
      </c>
      <c r="N6" s="1">
        <f t="shared" si="4"/>
        <v>8290.94</v>
      </c>
    </row>
    <row r="7" spans="1:14">
      <c r="A7" s="1">
        <v>6</v>
      </c>
      <c r="B7" s="1">
        <v>6166</v>
      </c>
      <c r="C7" s="1">
        <v>666</v>
      </c>
      <c r="D7" s="1">
        <v>666</v>
      </c>
      <c r="E7" s="1">
        <v>666</v>
      </c>
      <c r="F7" s="1">
        <v>666</v>
      </c>
      <c r="G7" s="1">
        <v>666</v>
      </c>
      <c r="H7" s="1">
        <v>6606</v>
      </c>
      <c r="I7" s="1"/>
      <c r="J7" s="1">
        <f t="shared" si="1"/>
        <v>3147.94</v>
      </c>
      <c r="K7" s="1">
        <f t="shared" si="0"/>
        <v>16102</v>
      </c>
      <c r="L7" s="1">
        <f t="shared" si="2"/>
        <v>4</v>
      </c>
      <c r="M7" s="2">
        <f t="shared" si="3"/>
        <v>80.510000000000005</v>
      </c>
      <c r="N7" s="1">
        <f t="shared" si="4"/>
        <v>19330.449999999997</v>
      </c>
    </row>
    <row r="8" spans="1:14">
      <c r="A8" s="1">
        <v>7</v>
      </c>
      <c r="B8" s="1">
        <v>777</v>
      </c>
      <c r="C8" s="1">
        <v>777</v>
      </c>
      <c r="D8" s="1">
        <v>777</v>
      </c>
      <c r="E8" s="1">
        <v>7777</v>
      </c>
      <c r="F8" s="1">
        <v>777</v>
      </c>
      <c r="G8" s="1">
        <v>777</v>
      </c>
      <c r="H8" s="1">
        <v>777</v>
      </c>
      <c r="I8" s="1"/>
      <c r="J8" s="1">
        <f t="shared" si="1"/>
        <v>3147.94</v>
      </c>
      <c r="K8" s="1">
        <f t="shared" si="0"/>
        <v>12439</v>
      </c>
      <c r="L8" s="1">
        <f t="shared" si="2"/>
        <v>7</v>
      </c>
      <c r="M8" s="2">
        <f t="shared" si="3"/>
        <v>0</v>
      </c>
      <c r="N8" s="1">
        <f t="shared" si="4"/>
        <v>15586.94</v>
      </c>
    </row>
    <row r="9" spans="1:14">
      <c r="A9" s="1">
        <v>8</v>
      </c>
      <c r="B9" s="1">
        <v>888</v>
      </c>
      <c r="C9" s="1">
        <v>8828</v>
      </c>
      <c r="D9" s="1">
        <v>888</v>
      </c>
      <c r="E9" s="1">
        <v>888</v>
      </c>
      <c r="F9" s="1">
        <v>888</v>
      </c>
      <c r="G9" s="1">
        <v>888</v>
      </c>
      <c r="H9">
        <v>888</v>
      </c>
      <c r="I9" s="1"/>
      <c r="J9" s="1">
        <f t="shared" si="1"/>
        <v>3147.94</v>
      </c>
      <c r="K9" s="1">
        <f t="shared" si="0"/>
        <v>14156</v>
      </c>
      <c r="L9" s="1">
        <f t="shared" si="2"/>
        <v>6</v>
      </c>
      <c r="M9" s="2">
        <f t="shared" si="3"/>
        <v>0</v>
      </c>
      <c r="N9" s="1">
        <f t="shared" si="4"/>
        <v>17303.939999999999</v>
      </c>
    </row>
    <row r="10" spans="1:14">
      <c r="A10" s="1">
        <v>9</v>
      </c>
      <c r="B10" s="1">
        <v>999</v>
      </c>
      <c r="C10" s="1">
        <v>999</v>
      </c>
      <c r="D10" s="1">
        <v>9900</v>
      </c>
      <c r="E10" s="1">
        <v>9199</v>
      </c>
      <c r="F10" s="1">
        <v>999</v>
      </c>
      <c r="G10" s="1">
        <v>999</v>
      </c>
      <c r="H10" s="1">
        <v>999</v>
      </c>
      <c r="I10" s="1"/>
      <c r="J10" s="1">
        <f t="shared" si="1"/>
        <v>3147.94</v>
      </c>
      <c r="K10" s="1">
        <f t="shared" si="0"/>
        <v>24094</v>
      </c>
      <c r="L10" s="1">
        <f t="shared" si="2"/>
        <v>2</v>
      </c>
      <c r="M10" s="2">
        <f t="shared" si="3"/>
        <v>481.88</v>
      </c>
      <c r="N10" s="1">
        <f t="shared" si="4"/>
        <v>27723.82</v>
      </c>
    </row>
    <row r="11" spans="1:14">
      <c r="A11" s="1">
        <v>10</v>
      </c>
      <c r="B11" s="1">
        <v>1111</v>
      </c>
      <c r="C11" s="1">
        <v>1111</v>
      </c>
      <c r="D11" s="1">
        <v>1110</v>
      </c>
      <c r="E11" s="1">
        <v>1111</v>
      </c>
      <c r="F11" s="1">
        <v>1111</v>
      </c>
      <c r="G11" s="1">
        <v>1111</v>
      </c>
      <c r="H11" s="1">
        <v>10011</v>
      </c>
      <c r="I11" s="1"/>
      <c r="J11" s="1">
        <f t="shared" si="1"/>
        <v>3147.94</v>
      </c>
      <c r="K11" s="1">
        <f t="shared" si="0"/>
        <v>16676</v>
      </c>
      <c r="L11" s="1">
        <f t="shared" si="2"/>
        <v>3</v>
      </c>
      <c r="M11" s="2">
        <f t="shared" si="3"/>
        <v>166.76</v>
      </c>
      <c r="N11" s="1">
        <f t="shared" si="4"/>
        <v>19990.699999999997</v>
      </c>
    </row>
    <row r="14" spans="1:14">
      <c r="A14" s="3" t="s">
        <v>13</v>
      </c>
      <c r="B14" s="4">
        <v>149000</v>
      </c>
    </row>
    <row r="15" spans="1:14">
      <c r="A15" s="3" t="s">
        <v>14</v>
      </c>
      <c r="B15" s="5">
        <v>0.02</v>
      </c>
    </row>
    <row r="16" spans="1:14">
      <c r="A16" s="3" t="s">
        <v>15</v>
      </c>
      <c r="B16" s="5">
        <v>0.04</v>
      </c>
    </row>
    <row r="17" spans="1:2">
      <c r="A17" s="3" t="s">
        <v>16</v>
      </c>
      <c r="B17" s="5">
        <v>0.02</v>
      </c>
    </row>
    <row r="18" spans="1:2">
      <c r="A18" s="3" t="s">
        <v>17</v>
      </c>
      <c r="B18" s="5">
        <v>0.01</v>
      </c>
    </row>
    <row r="19" spans="1:2">
      <c r="A19" s="3" t="s">
        <v>18</v>
      </c>
      <c r="B19" s="6">
        <v>5.0000000000000001E-3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H9"/>
  <sheetViews>
    <sheetView workbookViewId="0">
      <selection activeCell="I17" sqref="I17"/>
    </sheetView>
  </sheetViews>
  <sheetFormatPr defaultRowHeight="14.45"/>
  <sheetData>
    <row r="1" spans="1:8">
      <c r="A1" s="4" t="s">
        <v>19</v>
      </c>
    </row>
    <row r="9" spans="1:8">
      <c r="H9">
        <v>888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tim_l</dc:creator>
  <cp:keywords/>
  <dc:description/>
  <cp:lastModifiedBy/>
  <cp:revision/>
  <dcterms:created xsi:type="dcterms:W3CDTF">2023-10-10T13:45:26Z</dcterms:created>
  <dcterms:modified xsi:type="dcterms:W3CDTF">2023-10-22T12:25:58Z</dcterms:modified>
  <cp:category/>
  <cp:contentStatus/>
</cp:coreProperties>
</file>